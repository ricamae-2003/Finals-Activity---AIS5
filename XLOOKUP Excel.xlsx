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BBF326AC-E4E3-4DE1-B072-C065681C0171}" xr6:coauthVersionLast="47" xr6:coauthVersionMax="47" xr10:uidLastSave="{00000000-0000-0000-0000-000000000000}"/>
  <bookViews>
    <workbookView xWindow="-108" yWindow="-108" windowWidth="23256" windowHeight="12456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9" i="4"/>
  <c r="B3" i="4"/>
  <c r="B4" i="4"/>
  <c r="B2" i="4"/>
  <c r="B7" i="9"/>
  <c r="B4" i="9"/>
  <c r="B3" i="9"/>
  <c r="B6" i="8"/>
  <c r="B5" i="8"/>
  <c r="B4" i="8"/>
  <c r="B3" i="6" a="1"/>
  <c r="B3" i="6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<sst xmlns="http://schemas.openxmlformats.org/spreadsheetml/2006/main" count="488" uniqueCount="94">
  <si>
    <t>EmployeeID</t>
  </si>
  <si>
    <t>FirstName</t>
  </si>
  <si>
    <t>LastName</t>
  </si>
  <si>
    <t>Full Name</t>
  </si>
  <si>
    <t>Age</t>
  </si>
  <si>
    <t>Address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</si>
  <si>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</si>
  <si>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</si>
  <si>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</si>
  <si>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</si>
  <si>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</si>
  <si>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</si>
  <si>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</si>
  <si>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</si>
  <si>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</si>
  <si>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</si>
  <si>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</si>
  <si>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</si>
  <si>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</si>
  <si>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</si>
  <si>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Toby Flenderson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</si>
  <si>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</si>
  <si>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</si>
  <si>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</si>
  <si>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</si>
  <si>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</si>
  <si>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</si>
  <si>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</si>
  <si>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</si>
  <si>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</si>
  <si>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</si>
  <si>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</si>
  <si>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</si>
  <si>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</si>
  <si>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</si>
  <si>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Meredith Palmer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</si>
  <si>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</si>
  <si>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</si>
  <si>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</si>
  <si>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</si>
  <si>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</si>
  <si>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</si>
  <si>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</si>
  <si>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Kevin Malone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</si>
  <si>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</si>
  <si>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</si>
  <si>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</si>
  <si>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</si>
  <si>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</si>
  <si>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</si>
  <si>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</si>
  <si>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</si>
  <si>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</si>
  <si>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</si>
  <si>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</si>
  <si>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</si>
  <si>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</si>
  <si>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</si>
  <si>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</si>
  <si>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</si>
  <si>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</si>
  <si>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</si>
  <si>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</si>
  <si>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</si>
  <si>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</si>
  <si>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</si>
  <si>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</si>
  <si>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</si>
  <si>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</si>
  <si>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</si>
  <si>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</si>
  <si>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Toby Flender</t>
  </si>
  <si>
    <t>Kevin Malo</t>
  </si>
  <si>
    <t>Start Date</t>
  </si>
  <si>
    <t>Person</t>
  </si>
  <si>
    <t>1/1/2000</t>
  </si>
  <si>
    <t xml:space="preserve">   if A4 start from bottom</t>
  </si>
  <si>
    <t xml:space="preserve">February 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</si>
  <si>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</si>
  <si>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</si>
  <si>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</si>
  <si>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</si>
  <si>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</si>
  <si>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</si>
  <si>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</si>
  <si>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</si>
  <si>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</si>
  <si>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</si>
  <si>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</si>
  <si>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</si>
  <si>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</si>
  <si>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</si>
  <si>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Feb - Mar</t>
  </si>
  <si>
    <t>February-March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</si>
</sst>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14" sqref="C14"/>
    </sheetView>
  </sheetViews>
  <sheetFormatPr defaultRowHeight="14.45"/>
  <cols>
    <col min="1" max="1" width="16.85546875" customWidth="1"/>
    <col min="2" max="2" width="42.285156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>
        <f>_xlfn.XLOOKUP(A3, H2:H10, P2:P10)</f>
        <v>Toby.Flenderson@DunderMifflinCorporate.com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B4" t="str">
        <f t="shared" ref="B4:B6" si="0">_xlfn.XLOOKUP(A4, H3:H11, P3:P11)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B5" t="str">
        <f t="shared" si="0"/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B6" t="str">
        <f t="shared" si="0"/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4" sqref="B4"/>
    </sheetView>
  </sheetViews>
  <sheetFormatPr defaultRowHeight="14.45"/>
  <cols>
    <col min="1" max="1" width="14.7109375" bestFit="1" customWidth="1"/>
    <col min="2" max="2" width="12.85546875" customWidth="1"/>
    <col min="3" max="3" width="42.28515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10</v>
      </c>
      <c r="C2" t="s">
        <v>11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20</v>
      </c>
      <c r="B3" t="str" cm="1">
        <f t="array" ref="B3:C3">_xlfn.XLOOKUP(A3, I2:I10, O2:P10)</f>
        <v>8/30/2017</v>
      </c>
      <c r="C3" t="str">
        <v>Toby.Flenderson@DunderMifflinCorporate.com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23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35</v>
      </c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A6" t="s">
        <v>43</v>
      </c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3" sqref="B13"/>
    </sheetView>
  </sheetViews>
  <sheetFormatPr defaultRowHeight="14.45"/>
  <cols>
    <col min="1" max="1" width="14.7109375" bestFit="1" customWidth="1"/>
    <col min="2" max="2" width="33.710937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K2" t="s">
        <v>16</v>
      </c>
      <c r="L2">
        <v>45000</v>
      </c>
      <c r="M2" s="1" t="s">
        <v>17</v>
      </c>
      <c r="N2" s="1" t="s">
        <v>18</v>
      </c>
      <c r="O2" s="2" t="s">
        <v>19</v>
      </c>
    </row>
    <row r="3" spans="1:15" ht="15">
      <c r="A3" t="s">
        <v>71</v>
      </c>
      <c r="B3" s="3"/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K3" t="s">
        <v>25</v>
      </c>
      <c r="L3">
        <v>36000</v>
      </c>
      <c r="M3" s="1" t="s">
        <v>26</v>
      </c>
      <c r="N3" s="1" t="s">
        <v>27</v>
      </c>
      <c r="O3" s="2" t="s">
        <v>28</v>
      </c>
    </row>
    <row r="4" spans="1:15">
      <c r="A4" t="s">
        <v>22</v>
      </c>
      <c r="B4" t="str">
        <f>_xlfn.XLOOKUP("*"&amp;A4, H2:H10, O2:O10, "if not found", 2)</f>
        <v>Pam.Beasley@DunderMifflin.com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K4" t="s">
        <v>16</v>
      </c>
      <c r="L4">
        <v>63000</v>
      </c>
      <c r="M4" s="1" t="s">
        <v>32</v>
      </c>
      <c r="N4" s="1" t="s">
        <v>33</v>
      </c>
      <c r="O4" s="2" t="s">
        <v>34</v>
      </c>
    </row>
    <row r="5" spans="1:15">
      <c r="A5" t="s">
        <v>56</v>
      </c>
      <c r="B5" t="str">
        <f>_xlfn.XLOOKUP(A5&amp;"*", H2:H10, O2:O10, "if not found", 2)</f>
        <v>Meredith.Palmer@Yahoo.com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K5" t="s">
        <v>39</v>
      </c>
      <c r="L5">
        <v>47000</v>
      </c>
      <c r="M5" s="1" t="s">
        <v>40</v>
      </c>
      <c r="N5" s="1" t="s">
        <v>41</v>
      </c>
      <c r="O5" s="2" t="s">
        <v>42</v>
      </c>
    </row>
    <row r="6" spans="1:15">
      <c r="A6" t="s">
        <v>72</v>
      </c>
      <c r="B6" t="str">
        <f t="shared" ref="B6:B7" si="0">_xlfn.XLOOKUP(A6&amp;"*", H3:H11, O3:O11, "if not found", 2)</f>
        <v>Kevin.Malone@DunderMifflin.com</v>
      </c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K6" t="s">
        <v>46</v>
      </c>
      <c r="L6">
        <v>50000</v>
      </c>
      <c r="M6" s="1" t="s">
        <v>47</v>
      </c>
      <c r="N6" s="1" t="s">
        <v>48</v>
      </c>
      <c r="O6" s="2" t="s">
        <v>49</v>
      </c>
    </row>
    <row r="7" spans="1:15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K7" t="s">
        <v>53</v>
      </c>
      <c r="L7">
        <v>65000</v>
      </c>
      <c r="M7" s="1" t="s">
        <v>47</v>
      </c>
      <c r="N7" s="1" t="s">
        <v>54</v>
      </c>
      <c r="O7" s="2" t="s">
        <v>55</v>
      </c>
    </row>
    <row r="8" spans="1:15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K8" t="s">
        <v>58</v>
      </c>
      <c r="L8">
        <v>41000</v>
      </c>
      <c r="M8" s="1" t="s">
        <v>59</v>
      </c>
      <c r="N8" s="1" t="s">
        <v>54</v>
      </c>
      <c r="O8" s="2" t="s">
        <v>60</v>
      </c>
    </row>
    <row r="9" spans="1:15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K9" t="s">
        <v>16</v>
      </c>
      <c r="L9">
        <v>48000</v>
      </c>
      <c r="M9" s="1" t="s">
        <v>64</v>
      </c>
      <c r="N9" s="1" t="s">
        <v>65</v>
      </c>
      <c r="O9" s="2" t="s">
        <v>66</v>
      </c>
    </row>
    <row r="10" spans="1:15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K10" t="s">
        <v>39</v>
      </c>
      <c r="L10">
        <v>42000</v>
      </c>
      <c r="M10" s="1" t="s">
        <v>69</v>
      </c>
      <c r="N10" s="1" t="s">
        <v>65</v>
      </c>
      <c r="O10" s="2" t="s">
        <v>70</v>
      </c>
    </row>
    <row r="22" spans="8:8">
      <c r="H22" t="str">
        <f t="shared" ref="H22:H23" si="1">CONCATENATE(F12," ",G12)</f>
        <v xml:space="preserve"> </v>
      </c>
    </row>
    <row r="23" spans="8:8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15" sqref="B15"/>
    </sheetView>
  </sheetViews>
  <sheetFormatPr defaultRowHeight="14.45"/>
  <cols>
    <col min="1" max="1" width="22.5703125" bestFit="1" customWidth="1"/>
    <col min="2" max="2" width="24.85546875" customWidth="1"/>
    <col min="3" max="3" width="18.1406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73</v>
      </c>
      <c r="B2" t="s">
        <v>74</v>
      </c>
      <c r="F2">
        <v>1001</v>
      </c>
      <c r="G2" t="s">
        <v>12</v>
      </c>
      <c r="H2" t="s">
        <v>13</v>
      </c>
      <c r="I2" t="s">
        <v>14</v>
      </c>
      <c r="J2">
        <v>30</v>
      </c>
      <c r="K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s="1" t="s">
        <v>75</v>
      </c>
      <c r="B3" t="str">
        <f>_xlfn.XLOOKUP(A3, N2:N10, I2:I10,, 1)</f>
        <v>Angela Martin</v>
      </c>
      <c r="F3">
        <v>1002</v>
      </c>
      <c r="G3" t="s">
        <v>21</v>
      </c>
      <c r="H3" t="s">
        <v>22</v>
      </c>
      <c r="I3" t="s">
        <v>23</v>
      </c>
      <c r="J3">
        <v>30</v>
      </c>
      <c r="K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s="1" t="s">
        <v>47</v>
      </c>
      <c r="B4" t="str">
        <f>_xlfn.XLOOKUP(A4, N2:N10, I2:I10,,,1)</f>
        <v>Toby Flenderson</v>
      </c>
      <c r="F4">
        <v>1003</v>
      </c>
      <c r="G4" t="s">
        <v>29</v>
      </c>
      <c r="H4" t="s">
        <v>30</v>
      </c>
      <c r="I4" t="s">
        <v>31</v>
      </c>
      <c r="J4">
        <v>29</v>
      </c>
      <c r="K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F5">
        <v>1004</v>
      </c>
      <c r="G5" t="s">
        <v>36</v>
      </c>
      <c r="H5" t="s">
        <v>37</v>
      </c>
      <c r="I5" t="s">
        <v>38</v>
      </c>
      <c r="J5">
        <v>31</v>
      </c>
      <c r="K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F6">
        <v>1005</v>
      </c>
      <c r="G6" t="s">
        <v>44</v>
      </c>
      <c r="H6" t="s">
        <v>45</v>
      </c>
      <c r="I6" t="s">
        <v>20</v>
      </c>
      <c r="J6">
        <v>32</v>
      </c>
      <c r="K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A7" t="s">
        <v>76</v>
      </c>
      <c r="B7" t="str">
        <f>_xlfn.XLOOKUP(A4, N2:N10, I2:I10,,,-1)</f>
        <v>Michael Scott</v>
      </c>
      <c r="F7">
        <v>1006</v>
      </c>
      <c r="G7" t="s">
        <v>50</v>
      </c>
      <c r="H7" t="s">
        <v>51</v>
      </c>
      <c r="I7" t="s">
        <v>52</v>
      </c>
      <c r="J7">
        <v>35</v>
      </c>
      <c r="K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F8">
        <v>1007</v>
      </c>
      <c r="G8" t="s">
        <v>56</v>
      </c>
      <c r="H8" t="s">
        <v>57</v>
      </c>
      <c r="I8" t="s">
        <v>35</v>
      </c>
      <c r="J8">
        <v>32</v>
      </c>
      <c r="K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F9">
        <v>1008</v>
      </c>
      <c r="G9" t="s">
        <v>61</v>
      </c>
      <c r="H9" t="s">
        <v>62</v>
      </c>
      <c r="I9" t="s">
        <v>63</v>
      </c>
      <c r="J9">
        <v>38</v>
      </c>
      <c r="K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F10">
        <v>1009</v>
      </c>
      <c r="G10" t="s">
        <v>67</v>
      </c>
      <c r="H10" t="s">
        <v>68</v>
      </c>
      <c r="I10" t="s">
        <v>43</v>
      </c>
      <c r="J10">
        <v>31</v>
      </c>
      <c r="K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  <row r="22" spans="9:9">
      <c r="I22" t="str">
        <f t="shared" ref="I22:I23" si="0">CONCATENATE(G12," ",H12)</f>
        <v xml:space="preserve"> </v>
      </c>
    </row>
    <row r="23" spans="9:9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9"/>
  <sheetViews>
    <sheetView workbookViewId="0">
      <selection activeCell="B9" sqref="B9"/>
    </sheetView>
  </sheetViews>
  <sheetFormatPr defaultColWidth="10.140625" defaultRowHeight="14.45"/>
  <cols>
    <col min="1" max="1" width="12.42578125" customWidth="1"/>
    <col min="2" max="2" width="12.140625" customWidth="1"/>
    <col min="7" max="7" width="12.140625" bestFit="1" customWidth="1"/>
  </cols>
  <sheetData>
    <row r="1" spans="1:19">
      <c r="B1" t="s">
        <v>77</v>
      </c>
      <c r="H1" t="s">
        <v>78</v>
      </c>
      <c r="I1" t="s">
        <v>77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</row>
    <row r="2" spans="1:19">
      <c r="A2" t="s">
        <v>89</v>
      </c>
      <c r="B2">
        <f>_xlfn.XLOOKUP(I1, H1:S1, H2:S2)</f>
        <v>310</v>
      </c>
      <c r="G2" t="s">
        <v>89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90</v>
      </c>
      <c r="B3">
        <f t="shared" ref="B3:B4" si="0">_xlfn.XLOOKUP(I2, H2:S2, H3:S3)</f>
        <v>40</v>
      </c>
      <c r="G3" t="s">
        <v>90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91</v>
      </c>
      <c r="B4">
        <f t="shared" si="0"/>
        <v>118</v>
      </c>
      <c r="G4" t="s">
        <v>91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8" spans="1:19">
      <c r="B8" t="s">
        <v>92</v>
      </c>
    </row>
    <row r="9" spans="1:19" ht="21.75" customHeight="1">
      <c r="A9" t="s">
        <v>89</v>
      </c>
      <c r="B9" s="3">
        <f ca="1">SUM(_xlfn.XLOOKUP(I1, H1:S1, H2:S2):_xlfn.XLOOKUP(J1, H1:S1, H2:S2))</f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F24" sqref="F24"/>
    </sheetView>
  </sheetViews>
  <sheetFormatPr defaultColWidth="10.140625" defaultRowHeight="14.45"/>
  <cols>
    <col min="7" max="7" width="12.140625" bestFit="1" customWidth="1"/>
  </cols>
  <sheetData>
    <row r="1" spans="1:19">
      <c r="B1" t="s">
        <v>77</v>
      </c>
      <c r="H1" t="s">
        <v>78</v>
      </c>
      <c r="I1" t="s">
        <v>77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</row>
    <row r="2" spans="1:19">
      <c r="A2" t="s">
        <v>89</v>
      </c>
      <c r="G2" t="s">
        <v>89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>
      <c r="A3" t="s">
        <v>90</v>
      </c>
      <c r="G3" t="s">
        <v>90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>
      <c r="A4" t="s">
        <v>91</v>
      </c>
      <c r="G4" t="s">
        <v>91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>
      <c r="B6" t="s">
        <v>93</v>
      </c>
    </row>
    <row r="7" spans="1:19">
      <c r="A7" t="s">
        <v>89</v>
      </c>
      <c r="B7">
        <f ca="1">SUM(_xlfn.XLOOKUP(I1, H1:S1, H2:S2):_xlfn.XLOOKUP(J1, H1:S1, 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C11" sqref="C11"/>
    </sheetView>
  </sheetViews>
  <sheetFormatPr defaultRowHeight="14.45"/>
  <cols>
    <col min="1" max="1" width="14.42578125" customWidth="1"/>
    <col min="2" max="2" width="27.42578125" customWidth="1"/>
    <col min="16" max="16" width="43" customWidth="1"/>
  </cols>
  <sheetData>
    <row r="1" spans="1:16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6</v>
      </c>
      <c r="K1" t="s">
        <v>5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>
      <c r="A2" t="s">
        <v>3</v>
      </c>
      <c r="B2" t="s">
        <v>11</v>
      </c>
      <c r="E2">
        <v>1001</v>
      </c>
      <c r="F2" t="s">
        <v>12</v>
      </c>
      <c r="G2" t="s">
        <v>13</v>
      </c>
      <c r="H2" t="s">
        <v>14</v>
      </c>
      <c r="I2">
        <v>30</v>
      </c>
      <c r="J2" t="s">
        <v>15</v>
      </c>
      <c r="L2" t="s">
        <v>16</v>
      </c>
      <c r="M2">
        <v>45000</v>
      </c>
      <c r="N2" s="1" t="s">
        <v>17</v>
      </c>
      <c r="O2" s="1" t="s">
        <v>18</v>
      </c>
      <c r="P2" s="2" t="s">
        <v>19</v>
      </c>
    </row>
    <row r="3" spans="1:16">
      <c r="A3" t="s">
        <v>31</v>
      </c>
      <c r="B3" t="str">
        <f>VLOOKUP(A3,H2:P10,9,FALSE)</f>
        <v>Dwight.Schrute@AOL.com</v>
      </c>
      <c r="E3">
        <v>1002</v>
      </c>
      <c r="F3" t="s">
        <v>21</v>
      </c>
      <c r="G3" t="s">
        <v>22</v>
      </c>
      <c r="H3" t="s">
        <v>23</v>
      </c>
      <c r="I3">
        <v>30</v>
      </c>
      <c r="J3" t="s">
        <v>24</v>
      </c>
      <c r="L3" t="s">
        <v>25</v>
      </c>
      <c r="M3">
        <v>36000</v>
      </c>
      <c r="N3" s="1" t="s">
        <v>26</v>
      </c>
      <c r="O3" s="1" t="s">
        <v>27</v>
      </c>
      <c r="P3" s="2" t="s">
        <v>28</v>
      </c>
    </row>
    <row r="4" spans="1:16">
      <c r="A4" t="s">
        <v>52</v>
      </c>
      <c r="B4" t="str">
        <f t="shared" ref="B4:B5" si="0">VLOOKUP(A4,H3:P11,9,FALSE)</f>
        <v>Michael.Scott@DunderMifflin.com</v>
      </c>
      <c r="E4">
        <v>1003</v>
      </c>
      <c r="F4" t="s">
        <v>29</v>
      </c>
      <c r="G4" t="s">
        <v>30</v>
      </c>
      <c r="H4" t="s">
        <v>31</v>
      </c>
      <c r="I4">
        <v>29</v>
      </c>
      <c r="J4" t="s">
        <v>15</v>
      </c>
      <c r="L4" t="s">
        <v>16</v>
      </c>
      <c r="M4">
        <v>63000</v>
      </c>
      <c r="N4" s="1" t="s">
        <v>32</v>
      </c>
      <c r="O4" s="1" t="s">
        <v>33</v>
      </c>
      <c r="P4" s="2" t="s">
        <v>34</v>
      </c>
    </row>
    <row r="5" spans="1:16">
      <c r="A5" t="s">
        <v>63</v>
      </c>
      <c r="B5" t="str">
        <f t="shared" si="0"/>
        <v>Stanley.Hudson@gmail.com</v>
      </c>
      <c r="E5">
        <v>1004</v>
      </c>
      <c r="F5" t="s">
        <v>36</v>
      </c>
      <c r="G5" t="s">
        <v>37</v>
      </c>
      <c r="H5" t="s">
        <v>38</v>
      </c>
      <c r="I5">
        <v>31</v>
      </c>
      <c r="J5" t="s">
        <v>24</v>
      </c>
      <c r="L5" t="s">
        <v>39</v>
      </c>
      <c r="M5">
        <v>47000</v>
      </c>
      <c r="N5" s="1" t="s">
        <v>40</v>
      </c>
      <c r="O5" s="1" t="s">
        <v>41</v>
      </c>
      <c r="P5" s="2" t="s">
        <v>42</v>
      </c>
    </row>
    <row r="6" spans="1:16">
      <c r="E6">
        <v>1005</v>
      </c>
      <c r="F6" t="s">
        <v>44</v>
      </c>
      <c r="G6" t="s">
        <v>45</v>
      </c>
      <c r="H6" t="s">
        <v>20</v>
      </c>
      <c r="I6">
        <v>32</v>
      </c>
      <c r="J6" t="s">
        <v>15</v>
      </c>
      <c r="L6" t="s">
        <v>46</v>
      </c>
      <c r="M6">
        <v>50000</v>
      </c>
      <c r="N6" s="1" t="s">
        <v>47</v>
      </c>
      <c r="O6" s="1" t="s">
        <v>48</v>
      </c>
      <c r="P6" s="2" t="s">
        <v>49</v>
      </c>
    </row>
    <row r="7" spans="1:16">
      <c r="E7">
        <v>1006</v>
      </c>
      <c r="F7" t="s">
        <v>50</v>
      </c>
      <c r="G7" t="s">
        <v>51</v>
      </c>
      <c r="H7" t="s">
        <v>52</v>
      </c>
      <c r="I7">
        <v>35</v>
      </c>
      <c r="J7" t="s">
        <v>15</v>
      </c>
      <c r="L7" t="s">
        <v>53</v>
      </c>
      <c r="M7">
        <v>65000</v>
      </c>
      <c r="N7" s="1" t="s">
        <v>47</v>
      </c>
      <c r="O7" s="1" t="s">
        <v>54</v>
      </c>
      <c r="P7" s="2" t="s">
        <v>55</v>
      </c>
    </row>
    <row r="8" spans="1:16">
      <c r="E8">
        <v>1007</v>
      </c>
      <c r="F8" t="s">
        <v>56</v>
      </c>
      <c r="G8" t="s">
        <v>57</v>
      </c>
      <c r="H8" t="s">
        <v>35</v>
      </c>
      <c r="I8">
        <v>32</v>
      </c>
      <c r="J8" t="s">
        <v>24</v>
      </c>
      <c r="L8" t="s">
        <v>58</v>
      </c>
      <c r="M8">
        <v>41000</v>
      </c>
      <c r="N8" s="1" t="s">
        <v>59</v>
      </c>
      <c r="O8" s="1" t="s">
        <v>54</v>
      </c>
      <c r="P8" s="2" t="s">
        <v>60</v>
      </c>
    </row>
    <row r="9" spans="1:16">
      <c r="E9">
        <v>1008</v>
      </c>
      <c r="F9" t="s">
        <v>61</v>
      </c>
      <c r="G9" t="s">
        <v>62</v>
      </c>
      <c r="H9" t="s">
        <v>63</v>
      </c>
      <c r="I9">
        <v>38</v>
      </c>
      <c r="J9" t="s">
        <v>15</v>
      </c>
      <c r="L9" t="s">
        <v>16</v>
      </c>
      <c r="M9">
        <v>48000</v>
      </c>
      <c r="N9" s="1" t="s">
        <v>64</v>
      </c>
      <c r="O9" s="1" t="s">
        <v>65</v>
      </c>
      <c r="P9" s="2" t="s">
        <v>66</v>
      </c>
    </row>
    <row r="10" spans="1:16">
      <c r="E10">
        <v>1009</v>
      </c>
      <c r="F10" t="s">
        <v>67</v>
      </c>
      <c r="G10" t="s">
        <v>68</v>
      </c>
      <c r="H10" t="s">
        <v>43</v>
      </c>
      <c r="I10">
        <v>31</v>
      </c>
      <c r="J10" t="s">
        <v>15</v>
      </c>
      <c r="L10" t="s">
        <v>39</v>
      </c>
      <c r="M10">
        <v>42000</v>
      </c>
      <c r="N10" s="1" t="s">
        <v>69</v>
      </c>
      <c r="O10" s="1" t="s">
        <v>65</v>
      </c>
      <c r="P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2025-04-30T15:13:46Z</dcterms:modified>
  <cp:category/>
  <cp:contentStatus/>
</cp:coreProperties>
</file>